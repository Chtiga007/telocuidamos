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_Ejecutivo" sheetId="1" state="visible" r:id="rId1"/>
    <sheet name="02_PyG_Proyectado_12M" sheetId="2" state="visible" r:id="rId2"/>
    <sheet name="03_Unit_Economics" sheetId="3" state="visible" r:id="rId3"/>
    <sheet name="04_Flujo_Caja_Quince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0.0x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0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i val="1"/>
      <color rgb="00334155"/>
      <sz val="9"/>
    </font>
    <font>
      <name val="Calibr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97316"/>
        <bgColor rgb="00F97316"/>
      </patternFill>
    </fill>
    <fill>
      <patternFill patternType="solid">
        <fgColor rgb="000D9488"/>
        <bgColor rgb="000D9488"/>
      </patternFill>
    </fill>
    <fill>
      <patternFill patternType="solid">
        <fgColor rgb="00DCFCE7"/>
        <bgColor rgb="00DCFCE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right" vertical="center"/>
    </xf>
    <xf numFmtId="164" fontId="8" fillId="3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9" fillId="0" borderId="0" pivotButton="0" quotePrefix="0" xfId="0"/>
    <xf numFmtId="0" fontId="5" fillId="3" borderId="0" pivotButton="0" quotePrefix="0" xfId="0"/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6" fillId="5" borderId="0" pivotButton="0" quotePrefix="0" xfId="0"/>
    <xf numFmtId="16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6" fillId="6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8" fillId="3" borderId="0" pivotButton="0" quotePrefix="0" xfId="0"/>
    <xf numFmtId="164" fontId="8" fillId="3" borderId="0" applyAlignment="1" pivotButton="0" quotePrefix="0" xfId="0">
      <alignment horizontal="right" vertical="center"/>
    </xf>
    <xf numFmtId="0" fontId="6" fillId="2" borderId="0" pivotButton="0" quotePrefix="0" xfId="0"/>
    <xf numFmtId="164" fontId="6" fillId="2" borderId="0" applyAlignment="1" pivotButton="0" quotePrefix="0" xfId="0">
      <alignment horizontal="right" vertical="center"/>
    </xf>
    <xf numFmtId="0" fontId="8" fillId="3" borderId="2" pivotButton="0" quotePrefix="0" xfId="0"/>
    <xf numFmtId="0" fontId="7" fillId="0" borderId="1" pivotButton="0" quotePrefix="0" xfId="0"/>
    <xf numFmtId="0" fontId="0" fillId="0" borderId="5" pivotButton="0" quotePrefix="0" xfId="0"/>
    <xf numFmtId="164" fontId="8" fillId="0" borderId="1" applyAlignment="1" pivotButton="0" quotePrefix="0" xfId="0">
      <alignment horizontal="right" vertical="center"/>
    </xf>
    <xf numFmtId="167" fontId="10" fillId="7" borderId="1" applyAlignment="1" pivotButton="0" quotePrefix="0" xfId="0">
      <alignment horizontal="right" vertical="center"/>
    </xf>
    <xf numFmtId="164" fontId="8" fillId="0" borderId="0" pivotButton="0" quotePrefix="0" xfId="0"/>
    <xf numFmtId="164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16" customWidth="1" min="3" max="3"/>
    <col width="18" customWidth="1" min="4" max="4"/>
    <col width="24" customWidth="1" min="5" max="5"/>
    <col width="16" customWidth="1" min="6" max="6"/>
    <col width="22" customWidth="1" min="7" max="7"/>
    <col width="15" customWidth="1" min="8" max="8"/>
    <col width="20" customWidth="1" min="9" max="9"/>
  </cols>
  <sheetData>
    <row r="1">
      <c r="A1" s="1" t="inlineStr">
        <is>
          <t>TeLoCuidamos.com — DASHBOARD EJECUTIVO Y MODELO FINANCIERO</t>
        </is>
      </c>
    </row>
    <row r="2"/>
    <row r="3">
      <c r="A3" s="2" t="inlineStr">
        <is>
          <t>Unidad de Negocio: Zona Sur (Lanús y Avellaneda) • Moneda: ARS • Horizonte: Proyección Año 1 (12 Meses)</t>
        </is>
      </c>
    </row>
    <row r="5">
      <c r="B5" s="3" t="inlineStr">
        <is>
          <t>TUTORES ACTIVOS (MES 12)</t>
        </is>
      </c>
      <c r="C5" s="4" t="n"/>
      <c r="D5" s="3" t="inlineStr">
        <is>
          <t>FACTURACIÓN TOTAL (GMV AÑO 1)</t>
        </is>
      </c>
      <c r="E5" s="4" t="n"/>
      <c r="F5" s="3" t="inlineStr">
        <is>
          <t>INGRESOS NETOS (COMISIONES)</t>
        </is>
      </c>
      <c r="G5" s="4" t="n"/>
      <c r="H5" s="3" t="inlineStr">
        <is>
          <t>EBITDA OPERATIVO ANUAL</t>
        </is>
      </c>
      <c r="I5" s="4" t="n"/>
    </row>
    <row r="6">
      <c r="B6" s="5">
        <f>02_PyG_Proyectado_12M!M7</f>
        <v/>
      </c>
      <c r="C6" s="4" t="n"/>
      <c r="D6" s="6">
        <f>SUM(02_PyG_Proyectado_12M!B15:M15)</f>
        <v/>
      </c>
      <c r="E6" s="4" t="n"/>
      <c r="F6" s="6">
        <f>SUM(02_PyG_Proyectado_12M!B23:M23)</f>
        <v/>
      </c>
      <c r="G6" s="4" t="n"/>
      <c r="H6" s="6">
        <f>SUM(02_PyG_Proyectado_12M!B39:M39)</f>
        <v/>
      </c>
      <c r="I6" s="4" t="n"/>
    </row>
    <row r="8">
      <c r="B8" s="3" t="inlineStr">
        <is>
          <t>TICKET PROMEDIO MENSUAL</t>
        </is>
      </c>
      <c r="C8" s="4" t="n"/>
      <c r="D8" s="3" t="inlineStr">
        <is>
          <t>COSTO ADQUISICIÓN CLIENTE (CAC)</t>
        </is>
      </c>
      <c r="E8" s="4" t="n"/>
      <c r="F8" s="3" t="inlineStr">
        <is>
          <t>LIFETIME VALUE ESTIMADO (LTV)</t>
        </is>
      </c>
      <c r="G8" s="4" t="n"/>
      <c r="H8" s="3" t="inlineStr">
        <is>
          <t>RELACIÓN LTV / CAC</t>
        </is>
      </c>
      <c r="I8" s="4" t="n"/>
    </row>
    <row r="9">
      <c r="B9" s="6">
        <f>03_Unit_Economics!B10</f>
        <v/>
      </c>
      <c r="C9" s="4" t="n"/>
      <c r="D9" s="6">
        <f>03_Unit_Economics!C16</f>
        <v/>
      </c>
      <c r="E9" s="4" t="n"/>
      <c r="F9" s="6">
        <f>03_Unit_Economics!C20</f>
        <v/>
      </c>
      <c r="G9" s="4" t="n"/>
      <c r="H9" s="7">
        <f>03_Unit_Economics!C21</f>
        <v/>
      </c>
      <c r="I9" s="4" t="n"/>
    </row>
    <row r="12">
      <c r="B12" s="8" t="inlineStr">
        <is>
          <t>RESUMEN DE RENTABILIDAD POR LÍNEA DE NEGOCIO (AÑO 1)</t>
        </is>
      </c>
    </row>
    <row r="13">
      <c r="B13" s="9" t="inlineStr">
        <is>
          <t>Línea de Servicio</t>
        </is>
      </c>
      <c r="C13" s="9" t="inlineStr">
        <is>
          <t>Ticket Prom.</t>
        </is>
      </c>
      <c r="D13" s="9" t="inlineStr">
        <is>
          <t>Volumen Anual</t>
        </is>
      </c>
      <c r="E13" s="9" t="inlineStr">
        <is>
          <t>Facturación Bruta (GMV)</t>
        </is>
      </c>
      <c r="F13" s="9" t="inlineStr">
        <is>
          <t>Tasa Comisión</t>
        </is>
      </c>
      <c r="G13" s="9" t="inlineStr">
        <is>
          <t>Ingreso TeLoCuidamos</t>
        </is>
      </c>
      <c r="H13" s="9" t="inlineStr">
        <is>
          <t>Margen %</t>
        </is>
      </c>
      <c r="I13" s="9" t="inlineStr">
        <is>
          <t>Estatus</t>
        </is>
      </c>
    </row>
    <row r="14">
      <c r="B14" s="10" t="inlineStr">
        <is>
          <t>Alimento Balanceado en Piloto Automático</t>
        </is>
      </c>
      <c r="C14" s="11" t="n">
        <v>48000</v>
      </c>
      <c r="D14" s="12">
        <f>SUM(02_PyG_Proyectado_12M!B9:M9)</f>
        <v/>
      </c>
      <c r="E14" s="11">
        <f>C14*D14</f>
        <v/>
      </c>
      <c r="F14" s="13" t="n">
        <v>0.18</v>
      </c>
      <c r="G14" s="11">
        <f>E14*F14</f>
        <v/>
      </c>
      <c r="H14" s="13">
        <f>G14/E14</f>
        <v/>
      </c>
      <c r="I14" s="14" t="inlineStr">
        <is>
          <t>Núcleo Recurrente</t>
        </is>
      </c>
    </row>
    <row r="15">
      <c r="B15" s="10" t="inlineStr">
        <is>
          <t>Peluquería &amp; Spa 1 a 1 (Sin Jaulas)</t>
        </is>
      </c>
      <c r="C15" s="11" t="n">
        <v>24000</v>
      </c>
      <c r="D15" s="12">
        <f>SUM(02_PyG_Proyectado_12M!B10:M10)</f>
        <v/>
      </c>
      <c r="E15" s="11">
        <f>C15*D15</f>
        <v/>
      </c>
      <c r="F15" s="13" t="n">
        <v>0.2</v>
      </c>
      <c r="G15" s="11">
        <f>E15*F15</f>
        <v/>
      </c>
      <c r="H15" s="13">
        <f>G15/E15</f>
        <v/>
      </c>
      <c r="I15" s="14" t="inlineStr">
        <is>
          <t>Alta Fidelización</t>
        </is>
      </c>
    </row>
    <row r="16">
      <c r="B16" s="10" t="inlineStr">
        <is>
          <t>Consultas y Vacunas Veterinarias</t>
        </is>
      </c>
      <c r="C16" s="11" t="n">
        <v>18000</v>
      </c>
      <c r="D16" s="12">
        <f>SUM(02_PyG_Proyectado_12M!B11:M11)</f>
        <v/>
      </c>
      <c r="E16" s="11">
        <f>C16*D16</f>
        <v/>
      </c>
      <c r="F16" s="13" t="n">
        <v>0.22</v>
      </c>
      <c r="G16" s="11">
        <f>E16*F16</f>
        <v/>
      </c>
      <c r="H16" s="13">
        <f>G16/E16</f>
        <v/>
      </c>
      <c r="I16" s="14" t="inlineStr">
        <is>
          <t>Salud Preventiva</t>
        </is>
      </c>
    </row>
    <row r="17">
      <c r="B17" s="10" t="inlineStr">
        <is>
          <t>Paseos en Grupos Reducidos (Mensual)</t>
        </is>
      </c>
      <c r="C17" s="11" t="n">
        <v>38000</v>
      </c>
      <c r="D17" s="12">
        <f>SUM(02_PyG_Proyectado_12M!B12:M12)</f>
        <v/>
      </c>
      <c r="E17" s="11">
        <f>C17*D17</f>
        <v/>
      </c>
      <c r="F17" s="13" t="n">
        <v>0.18</v>
      </c>
      <c r="G17" s="11">
        <f>E17*F17</f>
        <v/>
      </c>
      <c r="H17" s="13">
        <f>G17/E17</f>
        <v/>
      </c>
      <c r="I17" s="14" t="inlineStr">
        <is>
          <t>Suscripción Mes</t>
        </is>
      </c>
    </row>
    <row r="18">
      <c r="B18" s="10" t="inlineStr">
        <is>
          <t>Hospedaje Familiar en Sillón (Noches)</t>
        </is>
      </c>
      <c r="C18" s="11" t="n">
        <v>18000</v>
      </c>
      <c r="D18" s="12">
        <f>SUM(02_PyG_Proyectado_12M!B13:M13)</f>
        <v/>
      </c>
      <c r="E18" s="11">
        <f>C18*D18</f>
        <v/>
      </c>
      <c r="F18" s="13" t="n">
        <v>0.2</v>
      </c>
      <c r="G18" s="11">
        <f>E18*F18</f>
        <v/>
      </c>
      <c r="H18" s="13">
        <f>G18/E18</f>
        <v/>
      </c>
      <c r="I18" s="14" t="inlineStr">
        <is>
          <t>Temporada / Finde</t>
        </is>
      </c>
    </row>
    <row r="19">
      <c r="B19" s="15" t="inlineStr">
        <is>
          <t>TOTAL ECOSISTEMA ZONA SUR</t>
        </is>
      </c>
      <c r="C19" s="15" t="inlineStr">
        <is>
          <t>-</t>
        </is>
      </c>
      <c r="D19" s="16">
        <f>SUM(D14:D18)</f>
        <v/>
      </c>
      <c r="E19" s="17">
        <f>SUM(E14:E18)</f>
        <v/>
      </c>
      <c r="F19" s="18">
        <f>G19/E19</f>
        <v/>
      </c>
      <c r="G19" s="17">
        <f>SUM(G14:G18)</f>
        <v/>
      </c>
      <c r="H19" s="18">
        <f>G19/E19</f>
        <v/>
      </c>
      <c r="I19" s="15" t="inlineStr">
        <is>
          <t>CONSOLIDADO</t>
        </is>
      </c>
    </row>
    <row r="22">
      <c r="B22" s="8" t="inlineStr">
        <is>
          <t>NOTAS ESTRATÉGICAS Y POLÍTICA DE COBERTURA ZONA SUR</t>
        </is>
      </c>
    </row>
    <row r="23">
      <c r="B23" s="19" t="inlineStr">
        <is>
          <t>1. Modelo de Intermediación Limpia: TeLoCuidamos no compra stock anticipado ni absorbe costo de jaulas/camionetas. Se apoya en distribuidores mayoristas de Zona Sur y clínicas existentes.</t>
        </is>
      </c>
    </row>
    <row r="24">
      <c r="B24" s="19" t="inlineStr">
        <is>
          <t>2. Logística por Rutas Fijas: Martes exclusivo para Lanús (Oeste, Este, Escalada) y Jueves para Avellaneda (Centro, Wilde, Gerli, Sarandí), lo que reduce el costo de flete unitario a menos del 4% del ticket.</t>
        </is>
      </c>
    </row>
    <row r="25">
      <c r="B25" s="19" t="inlineStr">
        <is>
          <t>3. Liquidaciones Quincenales: Cobro inmediato al tutor vía Mercado Pago / Débito; liquidación a veterinarias y paseadores cada 15 días previa auditoría de satisfacción del cliente.</t>
        </is>
      </c>
    </row>
    <row r="26">
      <c r="B26" s="19" t="inlineStr">
        <is>
          <t>4. Tasa de Retención (Churn Mensual &lt; 4%): El cálculo predictivo de comida retiene al usuario en piloto automático con LTV superior a $140.000 ARS por mascota.</t>
        </is>
      </c>
    </row>
  </sheetData>
  <mergeCells count="24">
    <mergeCell ref="B25:I25"/>
    <mergeCell ref="F6:G6"/>
    <mergeCell ref="B22:I22"/>
    <mergeCell ref="A3:I3"/>
    <mergeCell ref="H9:I9"/>
    <mergeCell ref="B12:I12"/>
    <mergeCell ref="D6:E6"/>
    <mergeCell ref="H6:I6"/>
    <mergeCell ref="F5:G5"/>
    <mergeCell ref="A1:I2"/>
    <mergeCell ref="B23:I23"/>
    <mergeCell ref="B8:C8"/>
    <mergeCell ref="F8:G8"/>
    <mergeCell ref="B9:C9"/>
    <mergeCell ref="D9:E9"/>
    <mergeCell ref="F9:G9"/>
    <mergeCell ref="D8:E8"/>
    <mergeCell ref="B6:C6"/>
    <mergeCell ref="B5:C5"/>
    <mergeCell ref="B24:I24"/>
    <mergeCell ref="D5:E5"/>
    <mergeCell ref="H5:I5"/>
    <mergeCell ref="H8:I8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TeLoCuidamos.com — ESTADO DE RESULTADOS PROYECTADO A 12 MESES (P&amp;L)</t>
        </is>
      </c>
    </row>
    <row r="2"/>
    <row r="3">
      <c r="A3" s="2" t="inlineStr">
        <is>
          <t>Plan Operativo Zona Sur (Lanús &amp; Avellaneda) • Cifras en Pesos Argentinos (ARS) • Base Base Progresiva</t>
        </is>
      </c>
    </row>
    <row r="5">
      <c r="A5" s="9" t="inlineStr">
        <is>
          <t>Concepto / Línea</t>
        </is>
      </c>
      <c r="B5" s="9" t="inlineStr">
        <is>
          <t>Mes 1</t>
        </is>
      </c>
      <c r="C5" s="9" t="inlineStr">
        <is>
          <t>Mes 2</t>
        </is>
      </c>
      <c r="D5" s="9" t="inlineStr">
        <is>
          <t>Mes 3</t>
        </is>
      </c>
      <c r="E5" s="9" t="inlineStr">
        <is>
          <t>Mes 4</t>
        </is>
      </c>
      <c r="F5" s="9" t="inlineStr">
        <is>
          <t>Mes 5</t>
        </is>
      </c>
      <c r="G5" s="9" t="inlineStr">
        <is>
          <t>Mes 6</t>
        </is>
      </c>
      <c r="H5" s="9" t="inlineStr">
        <is>
          <t>Mes 7</t>
        </is>
      </c>
      <c r="I5" s="9" t="inlineStr">
        <is>
          <t>Mes 8</t>
        </is>
      </c>
      <c r="J5" s="9" t="inlineStr">
        <is>
          <t>Mes 9</t>
        </is>
      </c>
      <c r="K5" s="9" t="inlineStr">
        <is>
          <t>Mes 10</t>
        </is>
      </c>
      <c r="L5" s="9" t="inlineStr">
        <is>
          <t>Mes 11</t>
        </is>
      </c>
      <c r="M5" s="9" t="inlineStr">
        <is>
          <t>Mes 12</t>
        </is>
      </c>
      <c r="N5" s="9" t="inlineStr">
        <is>
          <t>Total Año 1</t>
        </is>
      </c>
    </row>
    <row r="6">
      <c r="A6" s="20" t="inlineStr">
        <is>
          <t>1. TRACCIÓN Y BASE DE MASCOTAS ACTIVAS</t>
        </is>
      </c>
    </row>
    <row r="7">
      <c r="A7" s="21" t="inlineStr">
        <is>
          <t>Mascotas Activas en Plataforma</t>
        </is>
      </c>
      <c r="B7" s="22" t="n">
        <v>40</v>
      </c>
      <c r="C7" s="22" t="n">
        <v>75</v>
      </c>
      <c r="D7" s="22" t="n">
        <v>120</v>
      </c>
      <c r="E7" s="22" t="n">
        <v>180</v>
      </c>
      <c r="F7" s="22" t="n">
        <v>250</v>
      </c>
      <c r="G7" s="22" t="n">
        <v>330</v>
      </c>
      <c r="H7" s="22" t="n">
        <v>420</v>
      </c>
      <c r="I7" s="22" t="n">
        <v>520</v>
      </c>
      <c r="J7" s="22" t="n">
        <v>630</v>
      </c>
      <c r="K7" s="22" t="n">
        <v>750</v>
      </c>
      <c r="L7" s="22" t="n">
        <v>880</v>
      </c>
      <c r="M7" s="22" t="n">
        <v>1020</v>
      </c>
      <c r="N7" s="22">
        <f>M7</f>
        <v/>
      </c>
    </row>
    <row r="8">
      <c r="A8" s="20" t="inlineStr">
        <is>
          <t>2. FACTURACIÓN BRUTA TOTAL INTERMEDIADA (GMV)</t>
        </is>
      </c>
    </row>
    <row r="9">
      <c r="A9" s="23" t="inlineStr">
        <is>
          <t>Alimento Balanceado (Bolsas) (Ticket: $48,000)</t>
        </is>
      </c>
      <c r="B9" s="24">
        <f>ROUND(B7*0.85*48000, 0)</f>
        <v/>
      </c>
      <c r="C9" s="24">
        <f>ROUND(C7*0.85*48000, 0)</f>
        <v/>
      </c>
      <c r="D9" s="24">
        <f>ROUND(D7*0.85*48000, 0)</f>
        <v/>
      </c>
      <c r="E9" s="24">
        <f>ROUND(E7*0.85*48000, 0)</f>
        <v/>
      </c>
      <c r="F9" s="24">
        <f>ROUND(F7*0.85*48000, 0)</f>
        <v/>
      </c>
      <c r="G9" s="24">
        <f>ROUND(G7*0.85*48000, 0)</f>
        <v/>
      </c>
      <c r="H9" s="24">
        <f>ROUND(H7*0.85*48000, 0)</f>
        <v/>
      </c>
      <c r="I9" s="24">
        <f>ROUND(I7*0.85*48000, 0)</f>
        <v/>
      </c>
      <c r="J9" s="24">
        <f>ROUND(J7*0.85*48000, 0)</f>
        <v/>
      </c>
      <c r="K9" s="24">
        <f>ROUND(K7*0.85*48000, 0)</f>
        <v/>
      </c>
      <c r="L9" s="24">
        <f>ROUND(L7*0.85*48000, 0)</f>
        <v/>
      </c>
      <c r="M9" s="24">
        <f>ROUND(M7*0.85*48000, 0)</f>
        <v/>
      </c>
      <c r="N9" s="25">
        <f>SUM(B9:M9)</f>
        <v/>
      </c>
    </row>
    <row r="10">
      <c r="A10" s="23" t="inlineStr">
        <is>
          <t>Peluquería &amp; Spa 1 a 1 (Ticket: $24,000)</t>
        </is>
      </c>
      <c r="B10" s="24">
        <f>ROUND(B7*0.4*24000, 0)</f>
        <v/>
      </c>
      <c r="C10" s="24">
        <f>ROUND(C7*0.4*24000, 0)</f>
        <v/>
      </c>
      <c r="D10" s="24">
        <f>ROUND(D7*0.4*24000, 0)</f>
        <v/>
      </c>
      <c r="E10" s="24">
        <f>ROUND(E7*0.4*24000, 0)</f>
        <v/>
      </c>
      <c r="F10" s="24">
        <f>ROUND(F7*0.4*24000, 0)</f>
        <v/>
      </c>
      <c r="G10" s="24">
        <f>ROUND(G7*0.4*24000, 0)</f>
        <v/>
      </c>
      <c r="H10" s="24">
        <f>ROUND(H7*0.4*24000, 0)</f>
        <v/>
      </c>
      <c r="I10" s="24">
        <f>ROUND(I7*0.4*24000, 0)</f>
        <v/>
      </c>
      <c r="J10" s="24">
        <f>ROUND(J7*0.4*24000, 0)</f>
        <v/>
      </c>
      <c r="K10" s="24">
        <f>ROUND(K7*0.4*24000, 0)</f>
        <v/>
      </c>
      <c r="L10" s="24">
        <f>ROUND(L7*0.4*24000, 0)</f>
        <v/>
      </c>
      <c r="M10" s="24">
        <f>ROUND(M7*0.4*24000, 0)</f>
        <v/>
      </c>
      <c r="N10" s="25">
        <f>SUM(B10:M10)</f>
        <v/>
      </c>
    </row>
    <row r="11">
      <c r="A11" s="23" t="inlineStr">
        <is>
          <t>Consultas y Vacunas Veterinarias (Ticket: $18,000)</t>
        </is>
      </c>
      <c r="B11" s="24">
        <f>ROUND(B7*0.25*18000, 0)</f>
        <v/>
      </c>
      <c r="C11" s="24">
        <f>ROUND(C7*0.25*18000, 0)</f>
        <v/>
      </c>
      <c r="D11" s="24">
        <f>ROUND(D7*0.25*18000, 0)</f>
        <v/>
      </c>
      <c r="E11" s="24">
        <f>ROUND(E7*0.25*18000, 0)</f>
        <v/>
      </c>
      <c r="F11" s="24">
        <f>ROUND(F7*0.25*18000, 0)</f>
        <v/>
      </c>
      <c r="G11" s="24">
        <f>ROUND(G7*0.25*18000, 0)</f>
        <v/>
      </c>
      <c r="H11" s="24">
        <f>ROUND(H7*0.25*18000, 0)</f>
        <v/>
      </c>
      <c r="I11" s="24">
        <f>ROUND(I7*0.25*18000, 0)</f>
        <v/>
      </c>
      <c r="J11" s="24">
        <f>ROUND(J7*0.25*18000, 0)</f>
        <v/>
      </c>
      <c r="K11" s="24">
        <f>ROUND(K7*0.25*18000, 0)</f>
        <v/>
      </c>
      <c r="L11" s="24">
        <f>ROUND(L7*0.25*18000, 0)</f>
        <v/>
      </c>
      <c r="M11" s="24">
        <f>ROUND(M7*0.25*18000, 0)</f>
        <v/>
      </c>
      <c r="N11" s="25">
        <f>SUM(B11:M11)</f>
        <v/>
      </c>
    </row>
    <row r="12">
      <c r="A12" s="23" t="inlineStr">
        <is>
          <t>Paseos en Grupos Reducidos (Ticket: $38,000)</t>
        </is>
      </c>
      <c r="B12" s="24">
        <f>ROUND(B7*0.2*38000, 0)</f>
        <v/>
      </c>
      <c r="C12" s="24">
        <f>ROUND(C7*0.2*38000, 0)</f>
        <v/>
      </c>
      <c r="D12" s="24">
        <f>ROUND(D7*0.2*38000, 0)</f>
        <v/>
      </c>
      <c r="E12" s="24">
        <f>ROUND(E7*0.2*38000, 0)</f>
        <v/>
      </c>
      <c r="F12" s="24">
        <f>ROUND(F7*0.2*38000, 0)</f>
        <v/>
      </c>
      <c r="G12" s="24">
        <f>ROUND(G7*0.2*38000, 0)</f>
        <v/>
      </c>
      <c r="H12" s="24">
        <f>ROUND(H7*0.2*38000, 0)</f>
        <v/>
      </c>
      <c r="I12" s="24">
        <f>ROUND(I7*0.2*38000, 0)</f>
        <v/>
      </c>
      <c r="J12" s="24">
        <f>ROUND(J7*0.2*38000, 0)</f>
        <v/>
      </c>
      <c r="K12" s="24">
        <f>ROUND(K7*0.2*38000, 0)</f>
        <v/>
      </c>
      <c r="L12" s="24">
        <f>ROUND(L7*0.2*38000, 0)</f>
        <v/>
      </c>
      <c r="M12" s="24">
        <f>ROUND(M7*0.2*38000, 0)</f>
        <v/>
      </c>
      <c r="N12" s="25">
        <f>SUM(B12:M12)</f>
        <v/>
      </c>
    </row>
    <row r="13">
      <c r="A13" s="23" t="inlineStr">
        <is>
          <t>Hospedaje Familiar en Sillón (Ticket: $18,000)</t>
        </is>
      </c>
      <c r="B13" s="24">
        <f>ROUND(B7*0.15*18000, 0)</f>
        <v/>
      </c>
      <c r="C13" s="24">
        <f>ROUND(C7*0.15*18000, 0)</f>
        <v/>
      </c>
      <c r="D13" s="24">
        <f>ROUND(D7*0.15*18000, 0)</f>
        <v/>
      </c>
      <c r="E13" s="24">
        <f>ROUND(E7*0.15*18000, 0)</f>
        <v/>
      </c>
      <c r="F13" s="24">
        <f>ROUND(F7*0.15*18000, 0)</f>
        <v/>
      </c>
      <c r="G13" s="24">
        <f>ROUND(G7*0.15*18000, 0)</f>
        <v/>
      </c>
      <c r="H13" s="24">
        <f>ROUND(H7*0.15*18000, 0)</f>
        <v/>
      </c>
      <c r="I13" s="24">
        <f>ROUND(I7*0.15*18000, 0)</f>
        <v/>
      </c>
      <c r="J13" s="24">
        <f>ROUND(J7*0.15*18000, 0)</f>
        <v/>
      </c>
      <c r="K13" s="24">
        <f>ROUND(K7*0.15*18000, 0)</f>
        <v/>
      </c>
      <c r="L13" s="24">
        <f>ROUND(L7*0.15*18000, 0)</f>
        <v/>
      </c>
      <c r="M13" s="24">
        <f>ROUND(M7*0.15*18000, 0)</f>
        <v/>
      </c>
      <c r="N13" s="25">
        <f>SUM(B13:M13)</f>
        <v/>
      </c>
    </row>
    <row r="14">
      <c r="A14" t="inlineStr"/>
    </row>
    <row r="15">
      <c r="A15" s="26" t="inlineStr">
        <is>
          <t>TOTAL FACTURACIÓN BRUTA (GMV)</t>
        </is>
      </c>
      <c r="B15" s="27">
        <f>SUM(B9:B13)</f>
        <v/>
      </c>
      <c r="C15" s="27">
        <f>SUM(C9:C13)</f>
        <v/>
      </c>
      <c r="D15" s="27">
        <f>SUM(D9:D13)</f>
        <v/>
      </c>
      <c r="E15" s="27">
        <f>SUM(E9:E13)</f>
        <v/>
      </c>
      <c r="F15" s="27">
        <f>SUM(F9:F13)</f>
        <v/>
      </c>
      <c r="G15" s="27">
        <f>SUM(G9:G13)</f>
        <v/>
      </c>
      <c r="H15" s="27">
        <f>SUM(H9:H13)</f>
        <v/>
      </c>
      <c r="I15" s="27">
        <f>SUM(I9:I13)</f>
        <v/>
      </c>
      <c r="J15" s="27">
        <f>SUM(J9:J13)</f>
        <v/>
      </c>
      <c r="K15" s="27">
        <f>SUM(K9:K13)</f>
        <v/>
      </c>
      <c r="L15" s="27">
        <f>SUM(L9:L13)</f>
        <v/>
      </c>
      <c r="M15" s="27">
        <f>SUM(M9:M13)</f>
        <v/>
      </c>
      <c r="N15" s="27">
        <f>SUM(B15:M15)</f>
        <v/>
      </c>
    </row>
    <row r="17">
      <c r="A17" s="20" t="inlineStr">
        <is>
          <t>3. INGRESOS NETOS TELOCUIDAMOS (COMISIONES COBRADAS)</t>
        </is>
      </c>
    </row>
    <row r="18">
      <c r="A18" s="23" t="inlineStr">
        <is>
          <t>Comisión Alimento (18%)</t>
        </is>
      </c>
      <c r="B18" s="24">
        <f>ROUND(B9*0.18, 0)</f>
        <v/>
      </c>
      <c r="C18" s="24">
        <f>ROUND(C9*0.18, 0)</f>
        <v/>
      </c>
      <c r="D18" s="24">
        <f>ROUND(D9*0.18, 0)</f>
        <v/>
      </c>
      <c r="E18" s="24">
        <f>ROUND(E9*0.18, 0)</f>
        <v/>
      </c>
      <c r="F18" s="24">
        <f>ROUND(F9*0.18, 0)</f>
        <v/>
      </c>
      <c r="G18" s="24">
        <f>ROUND(G9*0.18, 0)</f>
        <v/>
      </c>
      <c r="H18" s="24">
        <f>ROUND(H9*0.18, 0)</f>
        <v/>
      </c>
      <c r="I18" s="24">
        <f>ROUND(I9*0.18, 0)</f>
        <v/>
      </c>
      <c r="J18" s="24">
        <f>ROUND(J9*0.18, 0)</f>
        <v/>
      </c>
      <c r="K18" s="24">
        <f>ROUND(K9*0.18, 0)</f>
        <v/>
      </c>
      <c r="L18" s="24">
        <f>ROUND(L9*0.18, 0)</f>
        <v/>
      </c>
      <c r="M18" s="24">
        <f>ROUND(M9*0.18, 0)</f>
        <v/>
      </c>
      <c r="N18" s="25">
        <f>SUM(B18:M18)</f>
        <v/>
      </c>
    </row>
    <row r="19">
      <c r="A19" s="23" t="inlineStr">
        <is>
          <t>Comisión Peluquería &amp; Spa (20%)</t>
        </is>
      </c>
      <c r="B19" s="24">
        <f>ROUND(B10*0.2, 0)</f>
        <v/>
      </c>
      <c r="C19" s="24">
        <f>ROUND(C10*0.2, 0)</f>
        <v/>
      </c>
      <c r="D19" s="24">
        <f>ROUND(D10*0.2, 0)</f>
        <v/>
      </c>
      <c r="E19" s="24">
        <f>ROUND(E10*0.2, 0)</f>
        <v/>
      </c>
      <c r="F19" s="24">
        <f>ROUND(F10*0.2, 0)</f>
        <v/>
      </c>
      <c r="G19" s="24">
        <f>ROUND(G10*0.2, 0)</f>
        <v/>
      </c>
      <c r="H19" s="24">
        <f>ROUND(H10*0.2, 0)</f>
        <v/>
      </c>
      <c r="I19" s="24">
        <f>ROUND(I10*0.2, 0)</f>
        <v/>
      </c>
      <c r="J19" s="24">
        <f>ROUND(J10*0.2, 0)</f>
        <v/>
      </c>
      <c r="K19" s="24">
        <f>ROUND(K10*0.2, 0)</f>
        <v/>
      </c>
      <c r="L19" s="24">
        <f>ROUND(L10*0.2, 0)</f>
        <v/>
      </c>
      <c r="M19" s="24">
        <f>ROUND(M10*0.2, 0)</f>
        <v/>
      </c>
      <c r="N19" s="25">
        <f>SUM(B19:M19)</f>
        <v/>
      </c>
    </row>
    <row r="20">
      <c r="A20" s="23" t="inlineStr">
        <is>
          <t>Comisión Veterinaria (22%)</t>
        </is>
      </c>
      <c r="B20" s="24">
        <f>ROUND(B11*0.22, 0)</f>
        <v/>
      </c>
      <c r="C20" s="24">
        <f>ROUND(C11*0.22, 0)</f>
        <v/>
      </c>
      <c r="D20" s="24">
        <f>ROUND(D11*0.22, 0)</f>
        <v/>
      </c>
      <c r="E20" s="24">
        <f>ROUND(E11*0.22, 0)</f>
        <v/>
      </c>
      <c r="F20" s="24">
        <f>ROUND(F11*0.22, 0)</f>
        <v/>
      </c>
      <c r="G20" s="24">
        <f>ROUND(G11*0.22, 0)</f>
        <v/>
      </c>
      <c r="H20" s="24">
        <f>ROUND(H11*0.22, 0)</f>
        <v/>
      </c>
      <c r="I20" s="24">
        <f>ROUND(I11*0.22, 0)</f>
        <v/>
      </c>
      <c r="J20" s="24">
        <f>ROUND(J11*0.22, 0)</f>
        <v/>
      </c>
      <c r="K20" s="24">
        <f>ROUND(K11*0.22, 0)</f>
        <v/>
      </c>
      <c r="L20" s="24">
        <f>ROUND(L11*0.22, 0)</f>
        <v/>
      </c>
      <c r="M20" s="24">
        <f>ROUND(M11*0.22, 0)</f>
        <v/>
      </c>
      <c r="N20" s="25">
        <f>SUM(B20:M20)</f>
        <v/>
      </c>
    </row>
    <row r="21">
      <c r="A21" s="23" t="inlineStr">
        <is>
          <t>Comisión Paseos (18%)</t>
        </is>
      </c>
      <c r="B21" s="24">
        <f>ROUND(B12*0.18, 0)</f>
        <v/>
      </c>
      <c r="C21" s="24">
        <f>ROUND(C12*0.18, 0)</f>
        <v/>
      </c>
      <c r="D21" s="24">
        <f>ROUND(D12*0.18, 0)</f>
        <v/>
      </c>
      <c r="E21" s="24">
        <f>ROUND(E12*0.18, 0)</f>
        <v/>
      </c>
      <c r="F21" s="24">
        <f>ROUND(F12*0.18, 0)</f>
        <v/>
      </c>
      <c r="G21" s="24">
        <f>ROUND(G12*0.18, 0)</f>
        <v/>
      </c>
      <c r="H21" s="24">
        <f>ROUND(H12*0.18, 0)</f>
        <v/>
      </c>
      <c r="I21" s="24">
        <f>ROUND(I12*0.18, 0)</f>
        <v/>
      </c>
      <c r="J21" s="24">
        <f>ROUND(J12*0.18, 0)</f>
        <v/>
      </c>
      <c r="K21" s="24">
        <f>ROUND(K12*0.18, 0)</f>
        <v/>
      </c>
      <c r="L21" s="24">
        <f>ROUND(L12*0.18, 0)</f>
        <v/>
      </c>
      <c r="M21" s="24">
        <f>ROUND(M12*0.18, 0)</f>
        <v/>
      </c>
      <c r="N21" s="25">
        <f>SUM(B21:M21)</f>
        <v/>
      </c>
    </row>
    <row r="22">
      <c r="A22" s="23" t="inlineStr">
        <is>
          <t>Comisión Hospedaje Familiar (20%)</t>
        </is>
      </c>
      <c r="B22" s="24">
        <f>ROUND(B13*0.2, 0)</f>
        <v/>
      </c>
      <c r="C22" s="24">
        <f>ROUND(C13*0.2, 0)</f>
        <v/>
      </c>
      <c r="D22" s="24">
        <f>ROUND(D13*0.2, 0)</f>
        <v/>
      </c>
      <c r="E22" s="24">
        <f>ROUND(E13*0.2, 0)</f>
        <v/>
      </c>
      <c r="F22" s="24">
        <f>ROUND(F13*0.2, 0)</f>
        <v/>
      </c>
      <c r="G22" s="24">
        <f>ROUND(G13*0.2, 0)</f>
        <v/>
      </c>
      <c r="H22" s="24">
        <f>ROUND(H13*0.2, 0)</f>
        <v/>
      </c>
      <c r="I22" s="24">
        <f>ROUND(I13*0.2, 0)</f>
        <v/>
      </c>
      <c r="J22" s="24">
        <f>ROUND(J13*0.2, 0)</f>
        <v/>
      </c>
      <c r="K22" s="24">
        <f>ROUND(K13*0.2, 0)</f>
        <v/>
      </c>
      <c r="L22" s="24">
        <f>ROUND(L13*0.2, 0)</f>
        <v/>
      </c>
      <c r="M22" s="24">
        <f>ROUND(M13*0.2, 0)</f>
        <v/>
      </c>
      <c r="N22" s="25">
        <f>SUM(B22:M22)</f>
        <v/>
      </c>
    </row>
    <row r="23">
      <c r="A23" s="28" t="inlineStr">
        <is>
          <t>TOTAL INGRESOS NETOS (MARGEN BRUTO)</t>
        </is>
      </c>
      <c r="B23" s="29">
        <f>SUM(B18:B22)</f>
        <v/>
      </c>
      <c r="C23" s="29">
        <f>SUM(C18:C22)</f>
        <v/>
      </c>
      <c r="D23" s="29">
        <f>SUM(D18:D22)</f>
        <v/>
      </c>
      <c r="E23" s="29">
        <f>SUM(E18:E22)</f>
        <v/>
      </c>
      <c r="F23" s="29">
        <f>SUM(F18:F22)</f>
        <v/>
      </c>
      <c r="G23" s="29">
        <f>SUM(G18:G22)</f>
        <v/>
      </c>
      <c r="H23" s="29">
        <f>SUM(H18:H22)</f>
        <v/>
      </c>
      <c r="I23" s="29">
        <f>SUM(I18:I22)</f>
        <v/>
      </c>
      <c r="J23" s="29">
        <f>SUM(J18:J22)</f>
        <v/>
      </c>
      <c r="K23" s="29">
        <f>SUM(K18:K22)</f>
        <v/>
      </c>
      <c r="L23" s="29">
        <f>SUM(L18:L22)</f>
        <v/>
      </c>
      <c r="M23" s="29">
        <f>SUM(M18:M22)</f>
        <v/>
      </c>
      <c r="N23" s="29">
        <f>SUM(B23:M23)</f>
        <v/>
      </c>
    </row>
    <row r="25">
      <c r="A25" s="20" t="inlineStr">
        <is>
          <t>4. COSTOS DIRECTOS DE OPERACIÓN Y LOGÍSTICA</t>
        </is>
      </c>
    </row>
    <row r="26">
      <c r="A26" s="23" t="inlineStr">
        <is>
          <t>Flete y Cadetería Barrial ($1.200 por entrega de comida)</t>
        </is>
      </c>
      <c r="B26" s="24">
        <f>ROUND((B9/48000)*1200, 0)</f>
        <v/>
      </c>
      <c r="C26" s="24">
        <f>ROUND((C9/48000)*1200, 0)</f>
        <v/>
      </c>
      <c r="D26" s="24">
        <f>ROUND((D9/48000)*1200, 0)</f>
        <v/>
      </c>
      <c r="E26" s="24">
        <f>ROUND((E9/48000)*1200, 0)</f>
        <v/>
      </c>
      <c r="F26" s="24">
        <f>ROUND((F9/48000)*1200, 0)</f>
        <v/>
      </c>
      <c r="G26" s="24">
        <f>ROUND((G9/48000)*1200, 0)</f>
        <v/>
      </c>
      <c r="H26" s="24">
        <f>ROUND((H9/48000)*1200, 0)</f>
        <v/>
      </c>
      <c r="I26" s="24">
        <f>ROUND((I9/48000)*1200, 0)</f>
        <v/>
      </c>
      <c r="J26" s="24">
        <f>ROUND((J9/48000)*1200, 0)</f>
        <v/>
      </c>
      <c r="K26" s="24">
        <f>ROUND((K9/48000)*1200, 0)</f>
        <v/>
      </c>
      <c r="L26" s="24">
        <f>ROUND((L9/48000)*1200, 0)</f>
        <v/>
      </c>
      <c r="M26" s="24">
        <f>ROUND((M9/48000)*1200, 0)</f>
        <v/>
      </c>
      <c r="N26" s="25">
        <f>SUM(B26:M26)</f>
        <v/>
      </c>
    </row>
    <row r="27">
      <c r="A27" s="23" t="inlineStr">
        <is>
          <t>Pasarela de Cobros Mercado Pago (3.4% + IVA sobre GMV)</t>
        </is>
      </c>
      <c r="B27" s="24">
        <f>ROUND(B15*0.041, 0)</f>
        <v/>
      </c>
      <c r="C27" s="24">
        <f>ROUND(C15*0.041, 0)</f>
        <v/>
      </c>
      <c r="D27" s="24">
        <f>ROUND(D15*0.041, 0)</f>
        <v/>
      </c>
      <c r="E27" s="24">
        <f>ROUND(E15*0.041, 0)</f>
        <v/>
      </c>
      <c r="F27" s="24">
        <f>ROUND(F15*0.041, 0)</f>
        <v/>
      </c>
      <c r="G27" s="24">
        <f>ROUND(G15*0.041, 0)</f>
        <v/>
      </c>
      <c r="H27" s="24">
        <f>ROUND(H15*0.041, 0)</f>
        <v/>
      </c>
      <c r="I27" s="24">
        <f>ROUND(I15*0.041, 0)</f>
        <v/>
      </c>
      <c r="J27" s="24">
        <f>ROUND(J15*0.041, 0)</f>
        <v/>
      </c>
      <c r="K27" s="24">
        <f>ROUND(K15*0.041, 0)</f>
        <v/>
      </c>
      <c r="L27" s="24">
        <f>ROUND(L15*0.041, 0)</f>
        <v/>
      </c>
      <c r="M27" s="24">
        <f>ROUND(M15*0.041, 0)</f>
        <v/>
      </c>
      <c r="N27" s="25">
        <f>SUM(B27:M27)</f>
        <v/>
      </c>
    </row>
    <row r="28">
      <c r="A28" s="23" t="inlineStr">
        <is>
          <t>Fondo de Emergencia y Seguro Médico en Paseos ($500/mascota)</t>
        </is>
      </c>
      <c r="B28" s="24">
        <f>ROUND(B7*500, 0)</f>
        <v/>
      </c>
      <c r="C28" s="24">
        <f>ROUND(C7*500, 0)</f>
        <v/>
      </c>
      <c r="D28" s="24">
        <f>ROUND(D7*500, 0)</f>
        <v/>
      </c>
      <c r="E28" s="24">
        <f>ROUND(E7*500, 0)</f>
        <v/>
      </c>
      <c r="F28" s="24">
        <f>ROUND(F7*500, 0)</f>
        <v/>
      </c>
      <c r="G28" s="24">
        <f>ROUND(G7*500, 0)</f>
        <v/>
      </c>
      <c r="H28" s="24">
        <f>ROUND(H7*500, 0)</f>
        <v/>
      </c>
      <c r="I28" s="24">
        <f>ROUND(I7*500, 0)</f>
        <v/>
      </c>
      <c r="J28" s="24">
        <f>ROUND(J7*500, 0)</f>
        <v/>
      </c>
      <c r="K28" s="24">
        <f>ROUND(K7*500, 0)</f>
        <v/>
      </c>
      <c r="L28" s="24">
        <f>ROUND(L7*500, 0)</f>
        <v/>
      </c>
      <c r="M28" s="24">
        <f>ROUND(M7*500, 0)</f>
        <v/>
      </c>
      <c r="N28" s="25">
        <f>SUM(B28:M28)</f>
        <v/>
      </c>
    </row>
    <row r="29">
      <c r="A29" s="23" t="inlineStr">
        <is>
          <t>Kits de Bienvenida, Chapita QR y Ficha Física ($2.200 por alta)</t>
        </is>
      </c>
      <c r="B29" s="30">
        <f>B7*2200</f>
        <v/>
      </c>
      <c r="C29" s="24">
        <f>(C7-B7)*2200</f>
        <v/>
      </c>
      <c r="D29" s="24">
        <f>(D7-C7)*2200</f>
        <v/>
      </c>
      <c r="E29" s="24">
        <f>(E7-D7)*2200</f>
        <v/>
      </c>
      <c r="F29" s="24">
        <f>(F7-E7)*2200</f>
        <v/>
      </c>
      <c r="G29" s="24">
        <f>(G7-F7)*2200</f>
        <v/>
      </c>
      <c r="H29" s="24">
        <f>(H7-G7)*2200</f>
        <v/>
      </c>
      <c r="I29" s="24">
        <f>(I7-H7)*2200</f>
        <v/>
      </c>
      <c r="J29" s="24">
        <f>(J7-I7)*2200</f>
        <v/>
      </c>
      <c r="K29" s="24">
        <f>(K7-J7)*2200</f>
        <v/>
      </c>
      <c r="L29" s="24">
        <f>(L7-K7)*2200</f>
        <v/>
      </c>
      <c r="M29" s="24">
        <f>(M7-L7)*2200</f>
        <v/>
      </c>
      <c r="N29" s="25">
        <f>SUM(B29:M29)</f>
        <v/>
      </c>
    </row>
    <row r="30">
      <c r="A30" s="31" t="inlineStr">
        <is>
          <t>TOTAL COSTOS DIRECTOS (COGS)</t>
        </is>
      </c>
      <c r="B30" s="32">
        <f>SUM(B26:B29)</f>
        <v/>
      </c>
      <c r="C30" s="32">
        <f>SUM(C26:C29)</f>
        <v/>
      </c>
      <c r="D30" s="32">
        <f>SUM(D26:D29)</f>
        <v/>
      </c>
      <c r="E30" s="32">
        <f>SUM(E26:E29)</f>
        <v/>
      </c>
      <c r="F30" s="32">
        <f>SUM(F26:F29)</f>
        <v/>
      </c>
      <c r="G30" s="32">
        <f>SUM(G26:G29)</f>
        <v/>
      </c>
      <c r="H30" s="32">
        <f>SUM(H26:H29)</f>
        <v/>
      </c>
      <c r="I30" s="32">
        <f>SUM(I26:I29)</f>
        <v/>
      </c>
      <c r="J30" s="32">
        <f>SUM(J26:J29)</f>
        <v/>
      </c>
      <c r="K30" s="32">
        <f>SUM(K26:K29)</f>
        <v/>
      </c>
      <c r="L30" s="32">
        <f>SUM(L26:L29)</f>
        <v/>
      </c>
      <c r="M30" s="32">
        <f>SUM(M26:M29)</f>
        <v/>
      </c>
      <c r="N30" s="32">
        <f>SUM(B30:M30)</f>
        <v/>
      </c>
    </row>
    <row r="31">
      <c r="A31" s="21" t="inlineStr">
        <is>
          <t>MARGEN DE CONTRIBUCIÓN (INGRESOS NETOS - COGS)</t>
        </is>
      </c>
      <c r="B31" s="25">
        <f>B23-B30</f>
        <v/>
      </c>
      <c r="C31" s="25">
        <f>C23-C30</f>
        <v/>
      </c>
      <c r="D31" s="25">
        <f>D23-D30</f>
        <v/>
      </c>
      <c r="E31" s="25">
        <f>E23-E30</f>
        <v/>
      </c>
      <c r="F31" s="25">
        <f>F23-F30</f>
        <v/>
      </c>
      <c r="G31" s="25">
        <f>G23-G30</f>
        <v/>
      </c>
      <c r="H31" s="25">
        <f>H23-H30</f>
        <v/>
      </c>
      <c r="I31" s="25">
        <f>I23-I30</f>
        <v/>
      </c>
      <c r="J31" s="25">
        <f>J23-J30</f>
        <v/>
      </c>
      <c r="K31" s="25">
        <f>K23-K30</f>
        <v/>
      </c>
      <c r="L31" s="25">
        <f>L23-L30</f>
        <v/>
      </c>
      <c r="M31" s="25">
        <f>M23-M30</f>
        <v/>
      </c>
      <c r="N31" s="25">
        <f>SUM(B31:M31)</f>
        <v/>
      </c>
    </row>
    <row r="33">
      <c r="A33" s="20" t="inlineStr">
        <is>
          <t>5. GASTOS DE ADMINISTRACIÓN Y OPERACIÓN (OPEX)</t>
        </is>
      </c>
    </row>
    <row r="34">
      <c r="A34" s="23" t="inlineStr">
        <is>
          <t>Coordinador Operativo Concierge WhatsApp (Zona Sur)</t>
        </is>
      </c>
      <c r="B34" s="24" t="n">
        <v>180000</v>
      </c>
      <c r="C34" s="24" t="n">
        <v>180000</v>
      </c>
      <c r="D34" s="24" t="n">
        <v>220000</v>
      </c>
      <c r="E34" s="24" t="n">
        <v>220000</v>
      </c>
      <c r="F34" s="24" t="n">
        <v>260000</v>
      </c>
      <c r="G34" s="24" t="n">
        <v>260000</v>
      </c>
      <c r="H34" s="24" t="n">
        <v>300000</v>
      </c>
      <c r="I34" s="24" t="n">
        <v>300000</v>
      </c>
      <c r="J34" s="24" t="n">
        <v>350000</v>
      </c>
      <c r="K34" s="24" t="n">
        <v>350000</v>
      </c>
      <c r="L34" s="24" t="n">
        <v>400000</v>
      </c>
      <c r="M34" s="24" t="n">
        <v>400000</v>
      </c>
      <c r="N34" s="25">
        <f>SUM(B34:M34)</f>
        <v/>
      </c>
    </row>
    <row r="35">
      <c r="A35" s="23" t="inlineStr">
        <is>
          <t>Meta Ads &amp; Marketing Local (Google/Instagram Zona Sur)</t>
        </is>
      </c>
      <c r="B35" s="24" t="n">
        <v>80000</v>
      </c>
      <c r="C35" s="24" t="n">
        <v>95000</v>
      </c>
      <c r="D35" s="24" t="n">
        <v>110000</v>
      </c>
      <c r="E35" s="24" t="n">
        <v>130000</v>
      </c>
      <c r="F35" s="24" t="n">
        <v>150000</v>
      </c>
      <c r="G35" s="24" t="n">
        <v>170000</v>
      </c>
      <c r="H35" s="24" t="n">
        <v>190000</v>
      </c>
      <c r="I35" s="24" t="n">
        <v>210000</v>
      </c>
      <c r="J35" s="24" t="n">
        <v>230000</v>
      </c>
      <c r="K35" s="24" t="n">
        <v>250000</v>
      </c>
      <c r="L35" s="24" t="n">
        <v>270000</v>
      </c>
      <c r="M35" s="24" t="n">
        <v>290000</v>
      </c>
      <c r="N35" s="25">
        <f>SUM(B35:M35)</f>
        <v/>
      </c>
    </row>
    <row r="36">
      <c r="A36" s="23" t="inlineStr">
        <is>
          <t>Servidores, Supabase Cloud &amp; WhatsApp Cloud API</t>
        </is>
      </c>
      <c r="B36" s="24" t="n">
        <v>25000</v>
      </c>
      <c r="C36" s="24" t="n">
        <v>25000</v>
      </c>
      <c r="D36" s="24" t="n">
        <v>32000</v>
      </c>
      <c r="E36" s="24" t="n">
        <v>32000</v>
      </c>
      <c r="F36" s="24" t="n">
        <v>42000</v>
      </c>
      <c r="G36" s="24" t="n">
        <v>42000</v>
      </c>
      <c r="H36" s="24" t="n">
        <v>55000</v>
      </c>
      <c r="I36" s="24" t="n">
        <v>55000</v>
      </c>
      <c r="J36" s="24" t="n">
        <v>70000</v>
      </c>
      <c r="K36" s="24" t="n">
        <v>70000</v>
      </c>
      <c r="L36" s="24" t="n">
        <v>85000</v>
      </c>
      <c r="M36" s="24" t="n">
        <v>85000</v>
      </c>
      <c r="N36" s="25">
        <f>SUM(B36:M36)</f>
        <v/>
      </c>
    </row>
    <row r="37">
      <c r="A37" s="23" t="inlineStr">
        <is>
          <t>Contabilidad, Asesoría Legal y Gastos Administrativos</t>
        </is>
      </c>
      <c r="B37" s="24" t="n">
        <v>45000</v>
      </c>
      <c r="C37" s="24" t="n">
        <v>45000</v>
      </c>
      <c r="D37" s="24" t="n">
        <v>45000</v>
      </c>
      <c r="E37" s="24" t="n">
        <v>50000</v>
      </c>
      <c r="F37" s="24" t="n">
        <v>50000</v>
      </c>
      <c r="G37" s="24" t="n">
        <v>50000</v>
      </c>
      <c r="H37" s="24" t="n">
        <v>55000</v>
      </c>
      <c r="I37" s="24" t="n">
        <v>55000</v>
      </c>
      <c r="J37" s="24" t="n">
        <v>60000</v>
      </c>
      <c r="K37" s="24" t="n">
        <v>60000</v>
      </c>
      <c r="L37" s="24" t="n">
        <v>65000</v>
      </c>
      <c r="M37" s="24" t="n">
        <v>65000</v>
      </c>
      <c r="N37" s="25">
        <f>SUM(B37:M37)</f>
        <v/>
      </c>
    </row>
    <row r="38">
      <c r="A38" s="31" t="inlineStr">
        <is>
          <t>TOTAL GASTOS OPERATIVOS (OPEX)</t>
        </is>
      </c>
      <c r="B38" s="32">
        <f>SUM(B34:B37)</f>
        <v/>
      </c>
      <c r="C38" s="32">
        <f>SUM(C34:C37)</f>
        <v/>
      </c>
      <c r="D38" s="32">
        <f>SUM(D34:D37)</f>
        <v/>
      </c>
      <c r="E38" s="32">
        <f>SUM(E34:E37)</f>
        <v/>
      </c>
      <c r="F38" s="32">
        <f>SUM(F34:F37)</f>
        <v/>
      </c>
      <c r="G38" s="32">
        <f>SUM(G34:G37)</f>
        <v/>
      </c>
      <c r="H38" s="32">
        <f>SUM(H34:H37)</f>
        <v/>
      </c>
      <c r="I38" s="32">
        <f>SUM(I34:I37)</f>
        <v/>
      </c>
      <c r="J38" s="32">
        <f>SUM(J34:J37)</f>
        <v/>
      </c>
      <c r="K38" s="32">
        <f>SUM(K34:K37)</f>
        <v/>
      </c>
      <c r="L38" s="32">
        <f>SUM(L34:L37)</f>
        <v/>
      </c>
      <c r="M38" s="32">
        <f>SUM(M34:M37)</f>
        <v/>
      </c>
      <c r="N38" s="32">
        <f>SUM(B38:M38)</f>
        <v/>
      </c>
    </row>
    <row r="39">
      <c r="A39" s="33" t="inlineStr">
        <is>
          <t>EBITDA (RESULTADO OPERATIVO)</t>
        </is>
      </c>
      <c r="B39" s="34">
        <f>B31-B38</f>
        <v/>
      </c>
      <c r="C39" s="34">
        <f>C31-C38</f>
        <v/>
      </c>
      <c r="D39" s="34">
        <f>D31-D38</f>
        <v/>
      </c>
      <c r="E39" s="34">
        <f>E31-E38</f>
        <v/>
      </c>
      <c r="F39" s="34">
        <f>F31-F38</f>
        <v/>
      </c>
      <c r="G39" s="34">
        <f>G31-G38</f>
        <v/>
      </c>
      <c r="H39" s="34">
        <f>H31-H38</f>
        <v/>
      </c>
      <c r="I39" s="34">
        <f>I31-I38</f>
        <v/>
      </c>
      <c r="J39" s="34">
        <f>J31-J38</f>
        <v/>
      </c>
      <c r="K39" s="34">
        <f>K31-K38</f>
        <v/>
      </c>
      <c r="L39" s="34">
        <f>L31-L38</f>
        <v/>
      </c>
      <c r="M39" s="34">
        <f>M31-M38</f>
        <v/>
      </c>
      <c r="N39" s="34">
        <f>SUM(B39:M39)</f>
        <v/>
      </c>
    </row>
  </sheetData>
  <mergeCells count="7">
    <mergeCell ref="A17:N17"/>
    <mergeCell ref="A1:N2"/>
    <mergeCell ref="A8:N8"/>
    <mergeCell ref="A3:N3"/>
    <mergeCell ref="A6:N6"/>
    <mergeCell ref="A25:N25"/>
    <mergeCell ref="A33:N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4" customWidth="1" min="2" max="2"/>
    <col width="28" customWidth="1" min="3" max="3"/>
    <col width="24" customWidth="1" min="4" max="4"/>
    <col width="16" customWidth="1" min="5" max="5"/>
    <col width="24" customWidth="1" min="6" max="6"/>
    <col width="26" customWidth="1" min="7" max="7"/>
  </cols>
  <sheetData>
    <row r="1">
      <c r="A1" s="1" t="inlineStr">
        <is>
          <t>TeLoCuidamos.com — UNIT ECONOMICS POR SERVICIO Y RETENCIÓN</t>
        </is>
      </c>
    </row>
    <row r="2"/>
    <row r="4">
      <c r="A4" s="9" t="inlineStr">
        <is>
          <t>Línea de Servicio</t>
        </is>
      </c>
      <c r="B4" s="9" t="inlineStr">
        <is>
          <t>Ticket Promedio (PVP)</t>
        </is>
      </c>
      <c r="C4" s="9" t="inlineStr">
        <is>
          <t>Costo Proveedor / Distribuidor</t>
        </is>
      </c>
      <c r="D4" s="9" t="inlineStr">
        <is>
          <t>Comisión TeLoCuidamos ($)</t>
        </is>
      </c>
      <c r="E4" s="9" t="inlineStr">
        <is>
          <t>Comisión (%)</t>
        </is>
      </c>
      <c r="F4" s="9" t="inlineStr">
        <is>
          <t>Costo Operativo Unitario</t>
        </is>
      </c>
      <c r="G4" s="9" t="inlineStr">
        <is>
          <t>Margen Contribución Unitario</t>
        </is>
      </c>
    </row>
    <row r="5">
      <c r="A5" s="10" t="inlineStr">
        <is>
          <t>Alimento Balanceado Premium 15kg</t>
        </is>
      </c>
      <c r="B5" s="11" t="n">
        <v>48000</v>
      </c>
      <c r="C5" s="11" t="n">
        <v>39360</v>
      </c>
      <c r="D5" s="11">
        <f>B5-C5</f>
        <v/>
      </c>
      <c r="E5" s="13">
        <f>D5/B5</f>
        <v/>
      </c>
      <c r="F5" s="11" t="n">
        <v>1200</v>
      </c>
      <c r="G5" s="11">
        <f>D5-F5</f>
        <v/>
      </c>
    </row>
    <row r="6">
      <c r="A6" s="10" t="inlineStr">
        <is>
          <t>Peluquería Canina &amp; Spa 1 a 1</t>
        </is>
      </c>
      <c r="B6" s="11" t="n">
        <v>24000</v>
      </c>
      <c r="C6" s="11" t="n">
        <v>19200</v>
      </c>
      <c r="D6" s="11">
        <f>B6-C6</f>
        <v/>
      </c>
      <c r="E6" s="13">
        <f>D6/B6</f>
        <v/>
      </c>
      <c r="F6" s="11" t="n">
        <v>350</v>
      </c>
      <c r="G6" s="11">
        <f>D6-F6</f>
        <v/>
      </c>
    </row>
    <row r="7">
      <c r="A7" s="10" t="inlineStr">
        <is>
          <t>Consulta y Vacunación en Veterinaria</t>
        </is>
      </c>
      <c r="B7" s="11" t="n">
        <v>18000</v>
      </c>
      <c r="C7" s="11" t="n">
        <v>14040</v>
      </c>
      <c r="D7" s="11">
        <f>B7-C7</f>
        <v/>
      </c>
      <c r="E7" s="13">
        <f>D7/B7</f>
        <v/>
      </c>
      <c r="F7" s="11" t="n">
        <v>250</v>
      </c>
      <c r="G7" s="11">
        <f>D7-F7</f>
        <v/>
      </c>
    </row>
    <row r="8">
      <c r="A8" s="10" t="inlineStr">
        <is>
          <t>Paseos en Grupos Reducidos (Abono Mes)</t>
        </is>
      </c>
      <c r="B8" s="11" t="n">
        <v>38000</v>
      </c>
      <c r="C8" s="11" t="n">
        <v>31160</v>
      </c>
      <c r="D8" s="11">
        <f>B8-C8</f>
        <v/>
      </c>
      <c r="E8" s="13">
        <f>D8/B8</f>
        <v/>
      </c>
      <c r="F8" s="11" t="n">
        <v>500</v>
      </c>
      <c r="G8" s="11">
        <f>D8-F8</f>
        <v/>
      </c>
    </row>
    <row r="9">
      <c r="A9" s="10" t="inlineStr">
        <is>
          <t>Hospedaje Familiar en Sillón (Noche)</t>
        </is>
      </c>
      <c r="B9" s="11" t="n">
        <v>18000</v>
      </c>
      <c r="C9" s="11" t="n">
        <v>14400</v>
      </c>
      <c r="D9" s="11">
        <f>B9-C9</f>
        <v/>
      </c>
      <c r="E9" s="13">
        <f>D9/B9</f>
        <v/>
      </c>
      <c r="F9" s="11" t="n">
        <v>350</v>
      </c>
      <c r="G9" s="11">
        <f>D9-F9</f>
        <v/>
      </c>
    </row>
    <row r="10">
      <c r="A10" s="35" t="inlineStr">
        <is>
          <t>PROMEDIO PONDERADO ECOSISTEMA</t>
        </is>
      </c>
      <c r="B10" s="17">
        <f>AVERAGE(B5:B9)</f>
        <v/>
      </c>
      <c r="C10" s="17">
        <f>AVERAGE(C5:C9)</f>
        <v/>
      </c>
      <c r="D10" s="17">
        <f>AVERAGE(D5:D9)</f>
        <v/>
      </c>
      <c r="E10" s="18">
        <f>D10/B10</f>
        <v/>
      </c>
      <c r="F10" s="17">
        <f>AVERAGE(F5:F9)</f>
        <v/>
      </c>
      <c r="G10" s="17">
        <f>D10-F10</f>
        <v/>
      </c>
    </row>
    <row r="13">
      <c r="A13" s="8" t="inlineStr">
        <is>
          <t>MÉTRICAS DE ADQUISICIÓN Y CICLO DE VIDA (CAC &amp; LTV)</t>
        </is>
      </c>
    </row>
    <row r="14">
      <c r="A14" s="36" t="inlineStr">
        <is>
          <t>Gasto Total de Marketing Proyectado (Año 1)</t>
        </is>
      </c>
      <c r="B14" s="37" t="n"/>
      <c r="C14" s="11">
        <f>02_PyG_Proyectado_12M!N35</f>
        <v/>
      </c>
    </row>
    <row r="15">
      <c r="A15" s="36" t="inlineStr">
        <is>
          <t>Nuevos Tutores Adquiridos en el Año</t>
        </is>
      </c>
      <c r="B15" s="37" t="n"/>
      <c r="C15" s="12">
        <f>02_PyG_Proyectado_12M!M7</f>
        <v/>
      </c>
    </row>
    <row r="16">
      <c r="A16" s="36" t="inlineStr">
        <is>
          <t>Costo de Adquisición por Tutor (CAC)</t>
        </is>
      </c>
      <c r="B16" s="37" t="n"/>
      <c r="C16" s="38">
        <f>C14/C15</f>
        <v/>
      </c>
    </row>
    <row r="17">
      <c r="A17" s="36" t="inlineStr">
        <is>
          <t>Ticket Promedio Mensual por Mascota</t>
        </is>
      </c>
      <c r="B17" s="37" t="n"/>
      <c r="C17" s="11" t="inlineStr">
        <is>
          <t>32500</t>
        </is>
      </c>
    </row>
    <row r="18">
      <c r="A18" s="36" t="inlineStr">
        <is>
          <t>Margen Bruto Promedio por Mascota / Mes</t>
        </is>
      </c>
      <c r="B18" s="37" t="n"/>
      <c r="C18" s="11" t="inlineStr">
        <is>
          <t>6200</t>
        </is>
      </c>
    </row>
    <row r="19">
      <c r="A19" s="36" t="inlineStr">
        <is>
          <t>Permanencia Media del Cliente (Meses)</t>
        </is>
      </c>
      <c r="B19" s="37" t="n"/>
      <c r="C19" s="12" t="inlineStr">
        <is>
          <t>24</t>
        </is>
      </c>
    </row>
    <row r="20">
      <c r="A20" s="36" t="inlineStr">
        <is>
          <t>Valor del Ciclo de Vida del Tutor (LTV)</t>
        </is>
      </c>
      <c r="B20" s="37" t="n"/>
      <c r="C20" s="38">
        <f>C18*C19</f>
        <v/>
      </c>
    </row>
    <row r="21">
      <c r="A21" s="36" t="inlineStr">
        <is>
          <t>Relación LTV / CAC (Benchmark SaaS/Marketplace &gt; 3x)</t>
        </is>
      </c>
      <c r="B21" s="37" t="n"/>
      <c r="C21" s="39">
        <f>C20/C16</f>
        <v/>
      </c>
    </row>
  </sheetData>
  <mergeCells count="10">
    <mergeCell ref="A13:G13"/>
    <mergeCell ref="A20:B20"/>
    <mergeCell ref="A21:B21"/>
    <mergeCell ref="A16:B16"/>
    <mergeCell ref="A15:B15"/>
    <mergeCell ref="A1:G2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TeLoCuidamos.com — MODELO DE TESORERÍA Y FLUJO DE CAJA MENSUAL</t>
        </is>
      </c>
    </row>
    <row r="2"/>
    <row r="3">
      <c r="A3" s="2" t="inlineStr">
        <is>
          <t>Control de Liquidez, Cobranzas Inmediatas a Tutores y Liquidación Quincenal a Prestadores de Zona Sur</t>
        </is>
      </c>
    </row>
    <row r="5">
      <c r="A5" s="9" t="inlineStr">
        <is>
          <t>Concepto / Línea</t>
        </is>
      </c>
      <c r="B5" s="9" t="inlineStr">
        <is>
          <t>Mes 1</t>
        </is>
      </c>
      <c r="C5" s="9" t="inlineStr">
        <is>
          <t>Mes 2</t>
        </is>
      </c>
      <c r="D5" s="9" t="inlineStr">
        <is>
          <t>Mes 3</t>
        </is>
      </c>
      <c r="E5" s="9" t="inlineStr">
        <is>
          <t>Mes 4</t>
        </is>
      </c>
      <c r="F5" s="9" t="inlineStr">
        <is>
          <t>Mes 5</t>
        </is>
      </c>
      <c r="G5" s="9" t="inlineStr">
        <is>
          <t>Mes 6</t>
        </is>
      </c>
      <c r="H5" s="9" t="inlineStr">
        <is>
          <t>Mes 7</t>
        </is>
      </c>
      <c r="I5" s="9" t="inlineStr">
        <is>
          <t>Mes 8</t>
        </is>
      </c>
      <c r="J5" s="9" t="inlineStr">
        <is>
          <t>Mes 9</t>
        </is>
      </c>
      <c r="K5" s="9" t="inlineStr">
        <is>
          <t>Mes 10</t>
        </is>
      </c>
      <c r="L5" s="9" t="inlineStr">
        <is>
          <t>Mes 11</t>
        </is>
      </c>
      <c r="M5" s="9" t="inlineStr">
        <is>
          <t>Mes 12</t>
        </is>
      </c>
      <c r="N5" s="9" t="inlineStr">
        <is>
          <t>Total Año 1</t>
        </is>
      </c>
    </row>
    <row r="6">
      <c r="A6" s="21" t="inlineStr">
        <is>
          <t>1. SALDO INICIAL DE DISPONIBILIDADES</t>
        </is>
      </c>
      <c r="B6" s="30" t="n">
        <v>1500000</v>
      </c>
      <c r="C6" s="24">
        <f>B12</f>
        <v/>
      </c>
      <c r="D6" s="24">
        <f>C12</f>
        <v/>
      </c>
      <c r="E6" s="24">
        <f>D12</f>
        <v/>
      </c>
      <c r="F6" s="24">
        <f>E12</f>
        <v/>
      </c>
      <c r="G6" s="24">
        <f>F12</f>
        <v/>
      </c>
      <c r="H6" s="24">
        <f>G12</f>
        <v/>
      </c>
      <c r="I6" s="24">
        <f>H12</f>
        <v/>
      </c>
      <c r="J6" s="24">
        <f>I12</f>
        <v/>
      </c>
      <c r="K6" s="24">
        <f>J12</f>
        <v/>
      </c>
      <c r="L6" s="24">
        <f>K12</f>
        <v/>
      </c>
      <c r="M6" s="24">
        <f>L12</f>
        <v/>
      </c>
    </row>
    <row r="7">
      <c r="A7" s="23" t="inlineStr">
        <is>
          <t>2. COBRANZAS A TUTORES (GMV COBRADO EN EL MES)</t>
        </is>
      </c>
      <c r="B7" s="24">
        <f>02_PyG_Proyectado_12M!B15</f>
        <v/>
      </c>
      <c r="C7" s="24">
        <f>02_PyG_Proyectado_12M!C15</f>
        <v/>
      </c>
      <c r="D7" s="24">
        <f>02_PyG_Proyectado_12M!D15</f>
        <v/>
      </c>
      <c r="E7" s="24">
        <f>02_PyG_Proyectado_12M!E15</f>
        <v/>
      </c>
      <c r="F7" s="24">
        <f>02_PyG_Proyectado_12M!F15</f>
        <v/>
      </c>
      <c r="G7" s="24">
        <f>02_PyG_Proyectado_12M!G15</f>
        <v/>
      </c>
      <c r="H7" s="24">
        <f>02_PyG_Proyectado_12M!H15</f>
        <v/>
      </c>
      <c r="I7" s="24">
        <f>02_PyG_Proyectado_12M!I15</f>
        <v/>
      </c>
      <c r="J7" s="24">
        <f>02_PyG_Proyectado_12M!J15</f>
        <v/>
      </c>
      <c r="K7" s="24">
        <f>02_PyG_Proyectado_12M!K15</f>
        <v/>
      </c>
      <c r="L7" s="24">
        <f>02_PyG_Proyectado_12M!L15</f>
        <v/>
      </c>
      <c r="M7" s="24">
        <f>02_PyG_Proyectado_12M!M15</f>
        <v/>
      </c>
      <c r="N7" s="40">
        <f>SUM(B7:M7)</f>
        <v/>
      </c>
    </row>
    <row r="8">
      <c r="A8" s="23" t="inlineStr">
        <is>
          <t>3. PAGOS A PROVEEDORES (LIQUIDACIÓN 80%-82% GMV)</t>
        </is>
      </c>
      <c r="B8" s="24">
        <f>02_PyG_Proyectado_12M!B15-02_PyG_Proyectado_12M!B23</f>
        <v/>
      </c>
      <c r="C8" s="24">
        <f>02_PyG_Proyectado_12M!C15-02_PyG_Proyectado_12M!C23</f>
        <v/>
      </c>
      <c r="D8" s="24">
        <f>02_PyG_Proyectado_12M!D15-02_PyG_Proyectado_12M!D23</f>
        <v/>
      </c>
      <c r="E8" s="24">
        <f>02_PyG_Proyectado_12M!E15-02_PyG_Proyectado_12M!E23</f>
        <v/>
      </c>
      <c r="F8" s="24">
        <f>02_PyG_Proyectado_12M!F15-02_PyG_Proyectado_12M!F23</f>
        <v/>
      </c>
      <c r="G8" s="24">
        <f>02_PyG_Proyectado_12M!G15-02_PyG_Proyectado_12M!G23</f>
        <v/>
      </c>
      <c r="H8" s="24">
        <f>02_PyG_Proyectado_12M!H15-02_PyG_Proyectado_12M!H23</f>
        <v/>
      </c>
      <c r="I8" s="24">
        <f>02_PyG_Proyectado_12M!I15-02_PyG_Proyectado_12M!I23</f>
        <v/>
      </c>
      <c r="J8" s="24">
        <f>02_PyG_Proyectado_12M!J15-02_PyG_Proyectado_12M!J23</f>
        <v/>
      </c>
      <c r="K8" s="24">
        <f>02_PyG_Proyectado_12M!K15-02_PyG_Proyectado_12M!K23</f>
        <v/>
      </c>
      <c r="L8" s="24">
        <f>02_PyG_Proyectado_12M!L15-02_PyG_Proyectado_12M!L23</f>
        <v/>
      </c>
      <c r="M8" s="24">
        <f>02_PyG_Proyectado_12M!M15-02_PyG_Proyectado_12M!M23</f>
        <v/>
      </c>
      <c r="N8" s="40">
        <f>SUM(B8:M8)</f>
        <v/>
      </c>
    </row>
    <row r="9">
      <c r="A9" s="23" t="inlineStr">
        <is>
          <t>4. PAGO DE COSTOS DIRECTOS (LOGÍSTICA Y PASARELA)</t>
        </is>
      </c>
      <c r="B9" s="24">
        <f>02_PyG_Proyectado_12M!B30</f>
        <v/>
      </c>
      <c r="C9" s="24">
        <f>02_PyG_Proyectado_12M!C30</f>
        <v/>
      </c>
      <c r="D9" s="24">
        <f>02_PyG_Proyectado_12M!D30</f>
        <v/>
      </c>
      <c r="E9" s="24">
        <f>02_PyG_Proyectado_12M!E30</f>
        <v/>
      </c>
      <c r="F9" s="24">
        <f>02_PyG_Proyectado_12M!F30</f>
        <v/>
      </c>
      <c r="G9" s="24">
        <f>02_PyG_Proyectado_12M!G30</f>
        <v/>
      </c>
      <c r="H9" s="24">
        <f>02_PyG_Proyectado_12M!H30</f>
        <v/>
      </c>
      <c r="I9" s="24">
        <f>02_PyG_Proyectado_12M!I30</f>
        <v/>
      </c>
      <c r="J9" s="24">
        <f>02_PyG_Proyectado_12M!J30</f>
        <v/>
      </c>
      <c r="K9" s="24">
        <f>02_PyG_Proyectado_12M!K30</f>
        <v/>
      </c>
      <c r="L9" s="24">
        <f>02_PyG_Proyectado_12M!L30</f>
        <v/>
      </c>
      <c r="M9" s="24">
        <f>02_PyG_Proyectado_12M!M30</f>
        <v/>
      </c>
      <c r="N9" s="40">
        <f>SUM(B9:M9)</f>
        <v/>
      </c>
    </row>
    <row r="10">
      <c r="A10" s="23" t="inlineStr">
        <is>
          <t>5. PAGO DE GASTOS OPERATIVOS (OPEX)</t>
        </is>
      </c>
      <c r="B10" s="24">
        <f>02_PyG_Proyectado_12M!B38</f>
        <v/>
      </c>
      <c r="C10" s="24">
        <f>02_PyG_Proyectado_12M!C38</f>
        <v/>
      </c>
      <c r="D10" s="24">
        <f>02_PyG_Proyectado_12M!D38</f>
        <v/>
      </c>
      <c r="E10" s="24">
        <f>02_PyG_Proyectado_12M!E38</f>
        <v/>
      </c>
      <c r="F10" s="24">
        <f>02_PyG_Proyectado_12M!F38</f>
        <v/>
      </c>
      <c r="G10" s="24">
        <f>02_PyG_Proyectado_12M!G38</f>
        <v/>
      </c>
      <c r="H10" s="24">
        <f>02_PyG_Proyectado_12M!H38</f>
        <v/>
      </c>
      <c r="I10" s="24">
        <f>02_PyG_Proyectado_12M!I38</f>
        <v/>
      </c>
      <c r="J10" s="24">
        <f>02_PyG_Proyectado_12M!J38</f>
        <v/>
      </c>
      <c r="K10" s="24">
        <f>02_PyG_Proyectado_12M!K38</f>
        <v/>
      </c>
      <c r="L10" s="24">
        <f>02_PyG_Proyectado_12M!L38</f>
        <v/>
      </c>
      <c r="M10" s="24">
        <f>02_PyG_Proyectado_12M!M38</f>
        <v/>
      </c>
      <c r="N10" s="40">
        <f>SUM(B10:M10)</f>
        <v/>
      </c>
    </row>
    <row r="11">
      <c r="A11" s="31" t="inlineStr">
        <is>
          <t>FLUJO NETO DEL MES</t>
        </is>
      </c>
      <c r="B11" s="32">
        <f>B7-B8-B9-B10</f>
        <v/>
      </c>
      <c r="C11" s="32">
        <f>C7-C8-C9-C10</f>
        <v/>
      </c>
      <c r="D11" s="32">
        <f>D7-D8-D9-D10</f>
        <v/>
      </c>
      <c r="E11" s="32">
        <f>E7-E8-E9-E10</f>
        <v/>
      </c>
      <c r="F11" s="32">
        <f>F7-F8-F9-F10</f>
        <v/>
      </c>
      <c r="G11" s="32">
        <f>G7-G8-G9-G10</f>
        <v/>
      </c>
      <c r="H11" s="32">
        <f>H7-H8-H9-H10</f>
        <v/>
      </c>
      <c r="I11" s="32">
        <f>I7-I8-I9-I10</f>
        <v/>
      </c>
      <c r="J11" s="32">
        <f>J7-J8-J9-J10</f>
        <v/>
      </c>
      <c r="K11" s="32">
        <f>K7-K8-K9-K10</f>
        <v/>
      </c>
      <c r="L11" s="32">
        <f>L7-L8-L9-L10</f>
        <v/>
      </c>
      <c r="M11" s="32">
        <f>M7-M8-M9-M10</f>
        <v/>
      </c>
      <c r="N11" s="41">
        <f>SUM(B11:M11)</f>
        <v/>
      </c>
    </row>
    <row r="12">
      <c r="A12" s="33" t="inlineStr">
        <is>
          <t>SALDO FINAL DE CAJA ACUMULADO</t>
        </is>
      </c>
      <c r="B12" s="34">
        <f>B6+B11</f>
        <v/>
      </c>
      <c r="C12" s="34">
        <f>C6+C11</f>
        <v/>
      </c>
      <c r="D12" s="34">
        <f>D6+D11</f>
        <v/>
      </c>
      <c r="E12" s="34">
        <f>E6+E11</f>
        <v/>
      </c>
      <c r="F12" s="34">
        <f>F6+F11</f>
        <v/>
      </c>
      <c r="G12" s="34">
        <f>G6+G11</f>
        <v/>
      </c>
      <c r="H12" s="34">
        <f>H6+H11</f>
        <v/>
      </c>
      <c r="I12" s="34">
        <f>I6+I11</f>
        <v/>
      </c>
      <c r="J12" s="34">
        <f>J6+J11</f>
        <v/>
      </c>
      <c r="K12" s="34">
        <f>K6+K11</f>
        <v/>
      </c>
      <c r="L12" s="34">
        <f>L6+L11</f>
        <v/>
      </c>
      <c r="M12" s="34">
        <f>M6+M11</f>
        <v/>
      </c>
      <c r="N12" s="34">
        <f>M12</f>
        <v/>
      </c>
    </row>
  </sheetData>
  <mergeCells count="2">
    <mergeCell ref="A1:N2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2026-10-28T23:50:59Z</dcterms:created>
  <dcterms:modified xsi:type="dcterms:W3CDTF">2026-10-28T23:50:59Z</dcterms:modified>
</cp:coreProperties>
</file>